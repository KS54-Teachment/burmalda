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C:\Users\ЕгорПрактика\Desktop\"/>
    </mc:Choice>
  </mc:AlternateContent>
  <xr:revisionPtr revIDLastSave="0" documentId="13_ncr:1_{90C1B36D-28CE-4126-983F-5F58A286D6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Журнал обращени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</calcChain>
</file>

<file path=xl/sharedStrings.xml><?xml version="1.0" encoding="utf-8"?>
<sst xmlns="http://schemas.openxmlformats.org/spreadsheetml/2006/main" count="74" uniqueCount="44">
  <si>
    <t>ID</t>
  </si>
  <si>
    <t>Пользователь</t>
  </si>
  <si>
    <t>Проблема</t>
  </si>
  <si>
    <t>Статус</t>
  </si>
  <si>
    <t>Ответственный</t>
  </si>
  <si>
    <t>Иванов И.И.</t>
  </si>
  <si>
    <t>Не могу войти в Госуслуги</t>
  </si>
  <si>
    <t>В работе</t>
  </si>
  <si>
    <t>Сидорова Е.В.</t>
  </si>
  <si>
    <t>Забыл пароль от почты</t>
  </si>
  <si>
    <t>Закрыто</t>
  </si>
  <si>
    <t>Кузнецов Д.С.</t>
  </si>
  <si>
    <t>Не работает интернет</t>
  </si>
  <si>
    <t>Открыто</t>
  </si>
  <si>
    <t>Орлова М.А.</t>
  </si>
  <si>
    <t>Подозрительное письмо от банка</t>
  </si>
  <si>
    <t>Васильев К.К.</t>
  </si>
  <si>
    <t>Как установить приложение</t>
  </si>
  <si>
    <t>Морозова Т.В.</t>
  </si>
  <si>
    <t>Как записаться к врачу</t>
  </si>
  <si>
    <t>Федоров А.И.</t>
  </si>
  <si>
    <t>Как оплатить ЖКХ</t>
  </si>
  <si>
    <t>Никитина О.С.</t>
  </si>
  <si>
    <t>Как создать надежный пароль</t>
  </si>
  <si>
    <t>Алексеев Р.М.</t>
  </si>
  <si>
    <t>Как пользоваться облачным диском</t>
  </si>
  <si>
    <t>Павлова Л.Г.</t>
  </si>
  <si>
    <t>Как защитить данные</t>
  </si>
  <si>
    <t>Чибисов Владислав</t>
  </si>
  <si>
    <t>Махмудов Нурлан</t>
  </si>
  <si>
    <t>Шигарев Егор</t>
  </si>
  <si>
    <t>Категория</t>
  </si>
  <si>
    <t>Приоритет</t>
  </si>
  <si>
    <t>Доступ</t>
  </si>
  <si>
    <t>Связь</t>
  </si>
  <si>
    <t>Безопасность</t>
  </si>
  <si>
    <t>Обучение</t>
  </si>
  <si>
    <t>Высокий</t>
  </si>
  <si>
    <t>Средний</t>
  </si>
  <si>
    <t>Низкий</t>
  </si>
  <si>
    <t>Показатель</t>
  </si>
  <si>
    <t>Результат</t>
  </si>
  <si>
    <t>Всего Обращений</t>
  </si>
  <si>
    <t>Высокий приоритет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</si>
</sst>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color theme="1" tint="0.249977111117893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</cellXfs>
  <cellStyles count="1">
    <cellStyle name="Обычный" xfId="0" builtinId="0"/>
  </cellStyles>
  <dxfs count="15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urnalTable" displayName="JournalTable" ref="A1:G11" headerRowDxfId="14" dataDxfId="13" totalsRowDxfId="12">
  <autoFilter ref="A1:G11" xr:uid="{00000000-0009-0000-0100-000001000000}"/>
  <tableColumns count="7">
    <tableColumn id="1" xr3:uid="{00000000-0010-0000-0000-000001000000}" name="ID" dataDxfId="11"/>
    <tableColumn id="2" xr3:uid="{00000000-0010-0000-0000-000002000000}" name="Пользователь" dataDxfId="10"/>
    <tableColumn id="3" xr3:uid="{00000000-0010-0000-0000-000003000000}" name="Проблема" dataDxfId="9"/>
    <tableColumn id="4" xr3:uid="{00000000-0010-0000-0000-000004000000}" name="Категория" dataDxfId="8"/>
    <tableColumn id="5" xr3:uid="{00000000-0010-0000-0000-000005000000}" name="Приоритет" dataDxfId="7"/>
    <tableColumn id="6" xr3:uid="{7E7C5756-6CE1-46A9-8688-399440F829B8}" name="Статус" dataDxfId="6" totalsRowDxfId="5"/>
    <tableColumn id="7" xr3:uid="{D29D2901-C65F-4852-84D5-71D0FD7AF759}" name="Ответственный" dataDxfId="4" totalsRow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16" sqref="F16"/>
    </sheetView>
  </sheetViews>
  <sheetFormatPr defaultRowHeight="15" x14ac:dyDescent="0.25"/>
  <cols>
    <col min="1" max="1" width="15" customWidth="1"/>
    <col min="2" max="2" width="30" customWidth="1"/>
    <col min="3" max="3" width="33.42578125" customWidth="1"/>
    <col min="4" max="4" width="15" customWidth="1"/>
    <col min="5" max="5" width="30" customWidth="1"/>
    <col min="6" max="6" width="18.28515625" customWidth="1"/>
    <col min="7" max="7" width="2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" t="s">
        <v>31</v>
      </c>
      <c r="E1" s="3" t="s">
        <v>32</v>
      </c>
      <c r="F1" s="1" t="s">
        <v>3</v>
      </c>
      <c r="G1" s="1" t="s">
        <v>4</v>
      </c>
    </row>
    <row r="2" spans="1:7" x14ac:dyDescent="0.25">
      <c r="A2" s="2">
        <v>1</v>
      </c>
      <c r="B2" s="2" t="s">
        <v>5</v>
      </c>
      <c r="C2" s="2" t="s">
        <v>6</v>
      </c>
      <c r="D2" s="3" t="s">
        <v>33</v>
      </c>
      <c r="E2" s="8" t="s">
        <v>37</v>
      </c>
      <c r="F2" s="6" t="s">
        <v>7</v>
      </c>
      <c r="G2" s="3" t="s">
        <v>28</v>
      </c>
    </row>
    <row r="3" spans="1:7" x14ac:dyDescent="0.25">
      <c r="A3" s="2">
        <v>2</v>
      </c>
      <c r="B3" s="2" t="s">
        <v>8</v>
      </c>
      <c r="C3" s="2" t="s">
        <v>9</v>
      </c>
      <c r="D3" s="3" t="s">
        <v>33</v>
      </c>
      <c r="E3" s="9" t="s">
        <v>38</v>
      </c>
      <c r="F3" s="7" t="s">
        <v>10</v>
      </c>
      <c r="G3" s="3" t="s">
        <v>28</v>
      </c>
    </row>
    <row r="4" spans="1:7" x14ac:dyDescent="0.25">
      <c r="A4" s="2">
        <v>3</v>
      </c>
      <c r="B4" s="2" t="s">
        <v>11</v>
      </c>
      <c r="C4" s="2" t="s">
        <v>12</v>
      </c>
      <c r="D4" s="3" t="s">
        <v>34</v>
      </c>
      <c r="E4" s="8" t="s">
        <v>37</v>
      </c>
      <c r="F4" s="5" t="s">
        <v>13</v>
      </c>
      <c r="G4" s="3" t="s">
        <v>30</v>
      </c>
    </row>
    <row r="5" spans="1:7" x14ac:dyDescent="0.25">
      <c r="A5" s="2">
        <v>4</v>
      </c>
      <c r="B5" s="2" t="s">
        <v>14</v>
      </c>
      <c r="C5" s="2" t="s">
        <v>15</v>
      </c>
      <c r="D5" s="3" t="s">
        <v>35</v>
      </c>
      <c r="E5" s="8" t="s">
        <v>37</v>
      </c>
      <c r="F5" s="6" t="s">
        <v>7</v>
      </c>
      <c r="G5" s="3" t="s">
        <v>29</v>
      </c>
    </row>
    <row r="6" spans="1:7" x14ac:dyDescent="0.25">
      <c r="A6" s="2">
        <v>5</v>
      </c>
      <c r="B6" s="2" t="s">
        <v>16</v>
      </c>
      <c r="C6" s="2" t="s">
        <v>17</v>
      </c>
      <c r="D6" s="3" t="s">
        <v>36</v>
      </c>
      <c r="E6" s="10" t="s">
        <v>39</v>
      </c>
      <c r="F6" s="7" t="s">
        <v>10</v>
      </c>
      <c r="G6" s="3" t="s">
        <v>28</v>
      </c>
    </row>
    <row r="7" spans="1:7" x14ac:dyDescent="0.25">
      <c r="A7" s="2">
        <v>6</v>
      </c>
      <c r="B7" s="2" t="s">
        <v>18</v>
      </c>
      <c r="C7" s="2" t="s">
        <v>19</v>
      </c>
      <c r="D7" s="3" t="s">
        <v>36</v>
      </c>
      <c r="E7" s="9" t="s">
        <v>38</v>
      </c>
      <c r="F7" s="5" t="s">
        <v>13</v>
      </c>
      <c r="G7" s="3" t="s">
        <v>28</v>
      </c>
    </row>
    <row r="8" spans="1:7" x14ac:dyDescent="0.25">
      <c r="A8" s="2">
        <v>7</v>
      </c>
      <c r="B8" s="2" t="s">
        <v>20</v>
      </c>
      <c r="C8" s="2" t="s">
        <v>21</v>
      </c>
      <c r="D8" s="3" t="s">
        <v>36</v>
      </c>
      <c r="E8" s="9" t="s">
        <v>38</v>
      </c>
      <c r="F8" s="7" t="s">
        <v>10</v>
      </c>
      <c r="G8" s="3" t="s">
        <v>28</v>
      </c>
    </row>
    <row r="9" spans="1:7" x14ac:dyDescent="0.25">
      <c r="A9" s="2">
        <v>8</v>
      </c>
      <c r="B9" s="2" t="s">
        <v>22</v>
      </c>
      <c r="C9" s="2" t="s">
        <v>23</v>
      </c>
      <c r="D9" s="3" t="s">
        <v>35</v>
      </c>
      <c r="E9" s="9" t="s">
        <v>38</v>
      </c>
      <c r="F9" s="6" t="s">
        <v>7</v>
      </c>
      <c r="G9" s="3" t="s">
        <v>29</v>
      </c>
    </row>
    <row r="10" spans="1:7" x14ac:dyDescent="0.25">
      <c r="A10" s="2">
        <v>9</v>
      </c>
      <c r="B10" s="2" t="s">
        <v>24</v>
      </c>
      <c r="C10" s="2" t="s">
        <v>25</v>
      </c>
      <c r="D10" s="3" t="s">
        <v>36</v>
      </c>
      <c r="E10" s="10" t="s">
        <v>39</v>
      </c>
      <c r="F10" s="5" t="s">
        <v>13</v>
      </c>
      <c r="G10" s="3" t="s">
        <v>28</v>
      </c>
    </row>
    <row r="11" spans="1:7" x14ac:dyDescent="0.25">
      <c r="A11" s="2">
        <v>10</v>
      </c>
      <c r="B11" s="2" t="s">
        <v>26</v>
      </c>
      <c r="C11" s="2" t="s">
        <v>27</v>
      </c>
      <c r="D11" s="3" t="s">
        <v>35</v>
      </c>
      <c r="E11" s="8" t="s">
        <v>37</v>
      </c>
      <c r="F11" s="7" t="s">
        <v>10</v>
      </c>
      <c r="G11" s="3" t="s">
        <v>29</v>
      </c>
    </row>
    <row r="15" spans="1:7" x14ac:dyDescent="0.25">
      <c r="A15" s="4" t="s">
        <v>40</v>
      </c>
      <c r="B15" s="4" t="s">
        <v>41</v>
      </c>
    </row>
    <row r="16" spans="1:7" x14ac:dyDescent="0.25">
      <c r="A16" s="4" t="s">
        <v>42</v>
      </c>
      <c r="B16" s="4">
        <f>COUNT(A2:A11)</f>
        <v>10</v>
      </c>
    </row>
    <row r="17" spans="1:2" x14ac:dyDescent="0.25">
      <c r="A17" s="4" t="s">
        <v>13</v>
      </c>
      <c r="B17" s="4">
        <f>COUNTIF(F2:F11,"Открыто")</f>
        <v>3</v>
      </c>
    </row>
    <row r="18" spans="1:2" x14ac:dyDescent="0.25">
      <c r="A18" s="4" t="s">
        <v>7</v>
      </c>
      <c r="B18" s="4">
        <f>COUNTIF(F2:F11,"В работе")</f>
        <v>3</v>
      </c>
    </row>
    <row r="19" spans="1:2" x14ac:dyDescent="0.25">
      <c r="A19" s="4" t="s">
        <v>10</v>
      </c>
      <c r="B19" s="4">
        <f>COUNTIF(F2:F11,"Закрыто")</f>
        <v>4</v>
      </c>
    </row>
    <row r="20" spans="1:2" x14ac:dyDescent="0.25">
      <c r="A20" s="4" t="s">
        <v>43</v>
      </c>
      <c r="B20" s="4">
        <f>COUNTIF(E2:E11,"Высокий")</f>
        <v>4</v>
      </c>
    </row>
  </sheetData>
  <conditionalFormatting sqref="F2:F11">
    <cfRule type="expression" dxfId="2" priority="1">
      <formula>F2="Закрыто"</formula>
    </cfRule>
    <cfRule type="expression" dxfId="1" priority="2">
      <formula>F2="В работе"</formula>
    </cfRule>
    <cfRule type="expression" dxfId="0" priority="3">
      <formula>F2="Открыто"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Журнал обращений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ЕгорПрактика</cp:lastModifiedBy>
  <dcterms:created xsi:type="dcterms:W3CDTF">2026-06-01T09:41:56Z</dcterms:created>
  <dcterms:modified xsi:type="dcterms:W3CDTF">2026-06-02T09:15:44Z</dcterms:modified>
</cp:coreProperties>
</file>